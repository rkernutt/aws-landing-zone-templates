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IS v3 Controls" sheetId="2" state="visible" r:id="rId4"/>
    <sheet name="Summary" sheetId="3" state="visible" r:id="rId5"/>
  </sheets>
  <definedNames>
    <definedName function="false" hidden="true" localSheetId="1" name="_xlnm._FilterDatabase" vbProcedure="false">'CIS v3 Controls'!$A$4:$H$69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<sst xmlns="http://schemas.openxmlformats.org/spreadsheetml/2006/main" count="376" uniqueCount="174">
  <si>
    <t xml:space="preserve">AWS Security Controls Tracker</t>
  </si>
  <si>
    <t xml:space="preserve">CIS AWS Foundations Benchmark v3 + FSBP + customer compliance frameworks</t>
  </si>
  <si>
    <t xml:space="preserve">Customer:</t>
  </si>
  <si>
    <t xml:space="preserve">{{CUSTOMER_NAME}}</t>
  </si>
  <si>
    <t xml:space="preserve">Partner:</t>
  </si>
  <si>
    <t xml:space="preserve">{{PARTNER_NAME}}</t>
  </si>
  <si>
    <t xml:space="preserve">Frameworks:</t>
  </si>
  <si>
    <t xml:space="preserve">{{COMPLIANCE_FRAMEWORKS}}</t>
  </si>
  <si>
    <t xml:space="preserve">Date:</t>
  </si>
  <si>
    <t xml:space="preserve">{{DOC_DATE}}</t>
  </si>
  <si>
    <t xml:space="preserve">How to use this workbook</t>
  </si>
  <si>
    <t xml:space="preserve">1. 'CIS v3 Controls' lists every control with implementation responsibility, status, evidence and notes.</t>
  </si>
  <si>
    <t xml:space="preserve">2. 'Summary' aggregates status counts and gives a compliance posture view.</t>
  </si>
  <si>
    <t xml:space="preserve">3. Status options: Compliant, Partial, Non-Compliant, Not Applicable, In Progress.</t>
  </si>
  <si>
    <t xml:space="preserve">4. Responsibility options: Customer, Partner, Shared, AWS.</t>
  </si>
  <si>
    <t xml:space="preserve">5. Update 'Status' as controls are validated; the Summary recalculates automatically.</t>
  </si>
  <si>
    <t xml:space="preserve">6. Add additional sheets for other frameworks (NIST CSF 2.0, ISO 27001, PCI DSS 4.0).</t>
  </si>
  <si>
    <t xml:space="preserve">CIS AWS Foundations Benchmark v3 — Control Status Tracker</t>
  </si>
  <si>
    <t xml:space="preserve">One row per control. Update Status, Evidence and Owner per delivery.</t>
  </si>
  <si>
    <t xml:space="preserve">Control #</t>
  </si>
  <si>
    <t xml:space="preserve">Title</t>
  </si>
  <si>
    <t xml:space="preserve">Level</t>
  </si>
  <si>
    <t xml:space="preserve">Section</t>
  </si>
  <si>
    <t xml:space="preserve">Responsibility</t>
  </si>
  <si>
    <t xml:space="preserve">Status</t>
  </si>
  <si>
    <t xml:space="preserve">Evidence / Source</t>
  </si>
  <si>
    <t xml:space="preserve">Notes</t>
  </si>
  <si>
    <t xml:space="preserve">1.1</t>
  </si>
  <si>
    <t xml:space="preserve">Maintain current contact details</t>
  </si>
  <si>
    <t xml:space="preserve">Identity &amp; Access Management</t>
  </si>
  <si>
    <t xml:space="preserve">Shared</t>
  </si>
  <si>
    <t xml:space="preserve">In Progress</t>
  </si>
  <si>
    <t xml:space="preserve">1.2</t>
  </si>
  <si>
    <t xml:space="preserve">Ensure security contact information is registered</t>
  </si>
  <si>
    <t xml:space="preserve">1.3</t>
  </si>
  <si>
    <t xml:space="preserve">Ensure security questions are registered in the AWS account</t>
  </si>
  <si>
    <t xml:space="preserve">1.4</t>
  </si>
  <si>
    <t xml:space="preserve">Ensure no 'root' user account access key exists</t>
  </si>
  <si>
    <t xml:space="preserve">1.5</t>
  </si>
  <si>
    <t xml:space="preserve">Ensure MFA is enabled for the 'root' user account</t>
  </si>
  <si>
    <t xml:space="preserve">1.6</t>
  </si>
  <si>
    <t xml:space="preserve">Ensure hardware MFA is enabled for the 'root' user account</t>
  </si>
  <si>
    <t xml:space="preserve">1.7</t>
  </si>
  <si>
    <t xml:space="preserve">Eliminate use of the 'root' user for administrative and daily tasks</t>
  </si>
  <si>
    <t xml:space="preserve">1.8</t>
  </si>
  <si>
    <t xml:space="preserve">Ensure IAM password policy requires minimum length of 14 or greater</t>
  </si>
  <si>
    <t xml:space="preserve">1.9</t>
  </si>
  <si>
    <t xml:space="preserve">Ensure IAM password policy prevents password reuse</t>
  </si>
  <si>
    <t xml:space="preserve">1.10</t>
  </si>
  <si>
    <t xml:space="preserve">Ensure MFA is enabled for all IAM users with a console password</t>
  </si>
  <si>
    <t xml:space="preserve">1.11</t>
  </si>
  <si>
    <t xml:space="preserve">Do not create access keys during initial setup for IAM users with a console password</t>
  </si>
  <si>
    <t xml:space="preserve">1.12</t>
  </si>
  <si>
    <t xml:space="preserve">Ensure credentials unused for 45 days or greater are disabled</t>
  </si>
  <si>
    <t xml:space="preserve">1.13</t>
  </si>
  <si>
    <t xml:space="preserve">Ensure there is only one active access key for any single IAM user</t>
  </si>
  <si>
    <t xml:space="preserve">1.14</t>
  </si>
  <si>
    <t xml:space="preserve">Ensure access keys are rotated every 90 days or less</t>
  </si>
  <si>
    <t xml:space="preserve">1.15</t>
  </si>
  <si>
    <t xml:space="preserve">Ensure IAM users receive permissions only through groups</t>
  </si>
  <si>
    <t xml:space="preserve">1.16</t>
  </si>
  <si>
    <t xml:space="preserve">Ensure IAM policies that allow full ':' administrative privileges are not attached</t>
  </si>
  <si>
    <t xml:space="preserve">1.17</t>
  </si>
  <si>
    <t xml:space="preserve">Ensure a support role has been created to manage incidents with AWS Support</t>
  </si>
  <si>
    <t xml:space="preserve">1.18</t>
  </si>
  <si>
    <t xml:space="preserve">Ensure IAM instance roles are used for AWS resource access from instances</t>
  </si>
  <si>
    <t xml:space="preserve">1.19</t>
  </si>
  <si>
    <t xml:space="preserve">Ensure that all the expired SSL/TLS certificates stored in AWS IAM are removed</t>
  </si>
  <si>
    <t xml:space="preserve">1.20</t>
  </si>
  <si>
    <t xml:space="preserve">Ensure IAM Access Analyzer is enabled for all regions</t>
  </si>
  <si>
    <t xml:space="preserve">1.21</t>
  </si>
  <si>
    <t xml:space="preserve">Ensure IAM users are managed centrally via identity federation or AWS IAM Identity Center</t>
  </si>
  <si>
    <t xml:space="preserve">1.22</t>
  </si>
  <si>
    <t xml:space="preserve">Ensure access to AWSCloudShellFullAccess is restricted</t>
  </si>
  <si>
    <t xml:space="preserve">2.1.1</t>
  </si>
  <si>
    <t xml:space="preserve">Ensure S3 buckets employ encryption-at-rest</t>
  </si>
  <si>
    <t xml:space="preserve">Storage</t>
  </si>
  <si>
    <t xml:space="preserve">2.1.2</t>
  </si>
  <si>
    <t xml:space="preserve">Ensure S3 Bucket Policy is set to deny HTTP requests</t>
  </si>
  <si>
    <t xml:space="preserve">2.1.3</t>
  </si>
  <si>
    <t xml:space="preserve">Ensure MFA Delete is enabled on S3 buckets</t>
  </si>
  <si>
    <t xml:space="preserve">2.1.4</t>
  </si>
  <si>
    <t xml:space="preserve">Ensure all data in S3 has been discovered, classified and secured</t>
  </si>
  <si>
    <t xml:space="preserve">2.1.5</t>
  </si>
  <si>
    <t xml:space="preserve">Ensure S3 Block Public Access setting is enabled at the account level</t>
  </si>
  <si>
    <t xml:space="preserve">2.2.1</t>
  </si>
  <si>
    <t xml:space="preserve">Ensure EBS volume encryption is enabled in all regions</t>
  </si>
  <si>
    <t xml:space="preserve">2.3.1</t>
  </si>
  <si>
    <t xml:space="preserve">Ensure encryption-at-rest is enabled for RDS instances</t>
  </si>
  <si>
    <t xml:space="preserve">2.3.2</t>
  </si>
  <si>
    <t xml:space="preserve">Ensure auto minor version upgrade is enabled for RDS instances</t>
  </si>
  <si>
    <t xml:space="preserve">2.3.3</t>
  </si>
  <si>
    <t xml:space="preserve">Ensure RDS instances are not publicly accessible</t>
  </si>
  <si>
    <t xml:space="preserve">2.4.1</t>
  </si>
  <si>
    <t xml:space="preserve">Ensure encryption is enabled for EFS file systems</t>
  </si>
  <si>
    <t xml:space="preserve">3.1</t>
  </si>
  <si>
    <t xml:space="preserve">Ensure CloudTrail is enabled in all regions</t>
  </si>
  <si>
    <t xml:space="preserve">Logging</t>
  </si>
  <si>
    <t xml:space="preserve">3.2</t>
  </si>
  <si>
    <t xml:space="preserve">Ensure CloudTrail log file validation is enabled</t>
  </si>
  <si>
    <t xml:space="preserve">3.3</t>
  </si>
  <si>
    <t xml:space="preserve">Ensure the S3 bucket used to store CloudTrail logs is not publicly accessible</t>
  </si>
  <si>
    <t xml:space="preserve">3.4</t>
  </si>
  <si>
    <t xml:space="preserve">Ensure CloudTrail trails are integrated with CloudWatch Logs</t>
  </si>
  <si>
    <t xml:space="preserve">3.5</t>
  </si>
  <si>
    <t xml:space="preserve">Ensure AWS Config is enabled in all regions</t>
  </si>
  <si>
    <t xml:space="preserve">3.6</t>
  </si>
  <si>
    <t xml:space="preserve">Ensure S3 bucket access logging is enabled on the CloudTrail S3 bucket</t>
  </si>
  <si>
    <t xml:space="preserve">3.7</t>
  </si>
  <si>
    <t xml:space="preserve">Ensure CloudTrail logs are encrypted at rest using KMS CMKs</t>
  </si>
  <si>
    <t xml:space="preserve">3.8</t>
  </si>
  <si>
    <t xml:space="preserve">Ensure rotation for customer-created symmetric CMKs is enabled</t>
  </si>
  <si>
    <t xml:space="preserve">3.9</t>
  </si>
  <si>
    <t xml:space="preserve">Ensure VPC Flow Logs is enabled in all VPCs</t>
  </si>
  <si>
    <t xml:space="preserve">3.10</t>
  </si>
  <si>
    <t xml:space="preserve">Ensure object-level logging for write events is enabled for S3 bucket</t>
  </si>
  <si>
    <t xml:space="preserve">3.11</t>
  </si>
  <si>
    <t xml:space="preserve">Ensure object-level logging for read events is enabled for S3 bucket</t>
  </si>
  <si>
    <t xml:space="preserve">4.1</t>
  </si>
  <si>
    <t xml:space="preserve">Ensure unauthorized API calls are monitored</t>
  </si>
  <si>
    <t xml:space="preserve">Monitoring</t>
  </si>
  <si>
    <t xml:space="preserve">4.2</t>
  </si>
  <si>
    <t xml:space="preserve">Ensure management console sign-in without MFA is monitored</t>
  </si>
  <si>
    <t xml:space="preserve">4.3</t>
  </si>
  <si>
    <t xml:space="preserve">Ensure usage of 'root' account is monitored</t>
  </si>
  <si>
    <t xml:space="preserve">4.4</t>
  </si>
  <si>
    <t xml:space="preserve">Ensure IAM policy changes are monitored</t>
  </si>
  <si>
    <t xml:space="preserve">4.5</t>
  </si>
  <si>
    <t xml:space="preserve">Ensure CloudTrail configuration changes are monitored</t>
  </si>
  <si>
    <t xml:space="preserve">4.6</t>
  </si>
  <si>
    <t xml:space="preserve">Ensure AWS Management Console authentication failures are monitored</t>
  </si>
  <si>
    <t xml:space="preserve">4.7</t>
  </si>
  <si>
    <t xml:space="preserve">Ensure disabling/scheduled deletion of customer-created CMKs is monitored</t>
  </si>
  <si>
    <t xml:space="preserve">4.8</t>
  </si>
  <si>
    <t xml:space="preserve">Ensure S3 bucket policy changes are monitored</t>
  </si>
  <si>
    <t xml:space="preserve">4.9</t>
  </si>
  <si>
    <t xml:space="preserve">Ensure AWS Config configuration changes are monitored</t>
  </si>
  <si>
    <t xml:space="preserve">4.10</t>
  </si>
  <si>
    <t xml:space="preserve">Ensure security group changes are monitored</t>
  </si>
  <si>
    <t xml:space="preserve">4.11</t>
  </si>
  <si>
    <t xml:space="preserve">Ensure NACL changes are monitored</t>
  </si>
  <si>
    <t xml:space="preserve">4.12</t>
  </si>
  <si>
    <t xml:space="preserve">Ensure changes to network gateways are monitored</t>
  </si>
  <si>
    <t xml:space="preserve">4.13</t>
  </si>
  <si>
    <t xml:space="preserve">Ensure route table changes are monitored</t>
  </si>
  <si>
    <t xml:space="preserve">4.14</t>
  </si>
  <si>
    <t xml:space="preserve">Ensure VPC changes are monitored</t>
  </si>
  <si>
    <t xml:space="preserve">4.15</t>
  </si>
  <si>
    <t xml:space="preserve">Ensure AWS Organizations changes are monitored</t>
  </si>
  <si>
    <t xml:space="preserve">4.16</t>
  </si>
  <si>
    <t xml:space="preserve">Ensure AWS Security Hub is enabled</t>
  </si>
  <si>
    <t xml:space="preserve">5.1</t>
  </si>
  <si>
    <t xml:space="preserve">Ensure no NACL allows ingress from 0.0.0.0/0 to remote server administration ports</t>
  </si>
  <si>
    <t xml:space="preserve">Networking</t>
  </si>
  <si>
    <t xml:space="preserve">5.2</t>
  </si>
  <si>
    <t xml:space="preserve">Ensure no security groups allow ingress from 0.0.0.0/0 to remote server administration ports</t>
  </si>
  <si>
    <t xml:space="preserve">5.3</t>
  </si>
  <si>
    <t xml:space="preserve">Ensure no security groups allow ingress from ::/0 to remote server administration ports</t>
  </si>
  <si>
    <t xml:space="preserve">5.4</t>
  </si>
  <si>
    <t xml:space="preserve">Ensure the default security group of every VPC restricts all traffic</t>
  </si>
  <si>
    <t xml:space="preserve">5.5</t>
  </si>
  <si>
    <t xml:space="preserve">Ensure routing tables for VPC peering are 'least access'</t>
  </si>
  <si>
    <t xml:space="preserve">5.6</t>
  </si>
  <si>
    <t xml:space="preserve">Ensure that EC2 Metadata Service v2 (IMDSv2) is enabled and required</t>
  </si>
  <si>
    <t xml:space="preserve">Summary</t>
  </si>
  <si>
    <t xml:space="preserve">Auto-aggregated status counts across all controls.</t>
  </si>
  <si>
    <t xml:space="preserve">Count</t>
  </si>
  <si>
    <t xml:space="preserve">% of Total</t>
  </si>
  <si>
    <t xml:space="preserve">Compliant</t>
  </si>
  <si>
    <t xml:space="preserve">Partial</t>
  </si>
  <si>
    <t xml:space="preserve">Non-Compliant</t>
  </si>
  <si>
    <t xml:space="preserve">Not Applicable</t>
  </si>
  <si>
    <t xml:space="preserve">Total</t>
  </si>
  <si>
    <t xml:space="preserve">Section Breakdown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</si>
</sst>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5F8FC"/>
        <bgColor rgb="FFFFFFFF"/>
      </patternFill>
    </fill>
    <fill>
      <patternFill patternType="solid">
        <fgColor rgb="FFD5E8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8F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9" customFormat="false" ht="15" hidden="false" customHeight="false" outlineLevel="0" collapsed="false">
      <c r="A9" s="3" t="s">
        <v>10</v>
      </c>
    </row>
    <row r="10" customFormat="false" ht="15" hidden="false" customHeight="false" outlineLevel="0" collapsed="false">
      <c r="A10" s="5" t="s">
        <v>11</v>
      </c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5" t="s">
        <v>12</v>
      </c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5" t="s">
        <v>13</v>
      </c>
      <c r="B12" s="5"/>
      <c r="C12" s="5"/>
      <c r="D12" s="5"/>
      <c r="E12" s="5"/>
      <c r="F12" s="5"/>
      <c r="G12" s="5"/>
    </row>
    <row r="13" customFormat="false" ht="15" hidden="false" customHeight="false" outlineLevel="0" collapsed="false">
      <c r="A13" s="5" t="s">
        <v>14</v>
      </c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A14" s="5" t="s">
        <v>15</v>
      </c>
      <c r="B14" s="5"/>
      <c r="C14" s="5"/>
      <c r="D14" s="5"/>
      <c r="E14" s="5"/>
      <c r="F14" s="5"/>
      <c r="G14" s="5"/>
    </row>
    <row r="15" customFormat="false" ht="15" hidden="false" customHeight="false" outlineLevel="0" collapsed="false">
      <c r="A15" s="5" t="s">
        <v>16</v>
      </c>
      <c r="B15" s="5"/>
      <c r="C15" s="5"/>
      <c r="D15" s="5"/>
      <c r="E15" s="5"/>
      <c r="F15" s="5"/>
      <c r="G15" s="5"/>
    </row>
  </sheetData>
  <mergeCells count="8">
    <mergeCell ref="A1:G1"/>
    <mergeCell ref="A2:G2"/>
    <mergeCell ref="A10:G10"/>
    <mergeCell ref="A11:G11"/>
    <mergeCell ref="A12:G12"/>
    <mergeCell ref="A13:G13"/>
    <mergeCell ref="A14:G14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6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6" min="5" style="0" width="18"/>
    <col collapsed="false" customWidth="true" hidden="false" outlineLevel="0" max="8" min="7" style="0" width="30"/>
  </cols>
  <sheetData>
    <row r="1" customFormat="false" ht="27.75" hidden="false" customHeight="true" outlineLevel="0" collapsed="false">
      <c r="A1" s="1" t="s">
        <v>17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18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</row>
    <row r="5" customFormat="false" ht="23.85" hidden="false" customHeight="false" outlineLevel="0" collapsed="false">
      <c r="A5" s="7" t="s">
        <v>27</v>
      </c>
      <c r="B5" s="7" t="s">
        <v>28</v>
      </c>
      <c r="C5" s="7" t="n">
        <v>1</v>
      </c>
      <c r="D5" s="7" t="s">
        <v>29</v>
      </c>
      <c r="E5" s="7" t="s">
        <v>30</v>
      </c>
      <c r="F5" s="7" t="s">
        <v>31</v>
      </c>
      <c r="G5" s="7"/>
      <c r="H5" s="7"/>
    </row>
    <row r="6" customFormat="false" ht="23.85" hidden="false" customHeight="false" outlineLevel="0" collapsed="false">
      <c r="A6" s="8" t="s">
        <v>32</v>
      </c>
      <c r="B6" s="8" t="s">
        <v>33</v>
      </c>
      <c r="C6" s="8" t="n">
        <v>1</v>
      </c>
      <c r="D6" s="8" t="s">
        <v>29</v>
      </c>
      <c r="E6" s="8" t="s">
        <v>30</v>
      </c>
      <c r="F6" s="8" t="s">
        <v>31</v>
      </c>
      <c r="G6" s="8"/>
      <c r="H6" s="8"/>
    </row>
    <row r="7" customFormat="false" ht="23.85" hidden="false" customHeight="false" outlineLevel="0" collapsed="false">
      <c r="A7" s="7" t="s">
        <v>34</v>
      </c>
      <c r="B7" s="7" t="s">
        <v>35</v>
      </c>
      <c r="C7" s="7" t="n">
        <v>1</v>
      </c>
      <c r="D7" s="7" t="s">
        <v>29</v>
      </c>
      <c r="E7" s="7" t="s">
        <v>30</v>
      </c>
      <c r="F7" s="7" t="s">
        <v>31</v>
      </c>
      <c r="G7" s="7"/>
      <c r="H7" s="7"/>
    </row>
    <row r="8" customFormat="false" ht="23.85" hidden="false" customHeight="false" outlineLevel="0" collapsed="false">
      <c r="A8" s="8" t="s">
        <v>36</v>
      </c>
      <c r="B8" s="8" t="s">
        <v>37</v>
      </c>
      <c r="C8" s="8" t="n">
        <v>1</v>
      </c>
      <c r="D8" s="8" t="s">
        <v>29</v>
      </c>
      <c r="E8" s="8" t="s">
        <v>30</v>
      </c>
      <c r="F8" s="8" t="s">
        <v>31</v>
      </c>
      <c r="G8" s="8"/>
      <c r="H8" s="8"/>
    </row>
    <row r="9" customFormat="false" ht="23.85" hidden="false" customHeight="false" outlineLevel="0" collapsed="false">
      <c r="A9" s="7" t="s">
        <v>38</v>
      </c>
      <c r="B9" s="7" t="s">
        <v>39</v>
      </c>
      <c r="C9" s="7" t="n">
        <v>1</v>
      </c>
      <c r="D9" s="7" t="s">
        <v>29</v>
      </c>
      <c r="E9" s="7" t="s">
        <v>30</v>
      </c>
      <c r="F9" s="7" t="s">
        <v>31</v>
      </c>
      <c r="G9" s="7"/>
      <c r="H9" s="7"/>
    </row>
    <row r="10" customFormat="false" ht="23.85" hidden="false" customHeight="false" outlineLevel="0" collapsed="false">
      <c r="A10" s="8" t="s">
        <v>40</v>
      </c>
      <c r="B10" s="8" t="s">
        <v>41</v>
      </c>
      <c r="C10" s="8" t="n">
        <v>2</v>
      </c>
      <c r="D10" s="8" t="s">
        <v>29</v>
      </c>
      <c r="E10" s="8" t="s">
        <v>30</v>
      </c>
      <c r="F10" s="8" t="s">
        <v>31</v>
      </c>
      <c r="G10" s="8"/>
      <c r="H10" s="8"/>
    </row>
    <row r="11" customFormat="false" ht="23.85" hidden="false" customHeight="false" outlineLevel="0" collapsed="false">
      <c r="A11" s="7" t="s">
        <v>42</v>
      </c>
      <c r="B11" s="7" t="s">
        <v>43</v>
      </c>
      <c r="C11" s="7" t="n">
        <v>1</v>
      </c>
      <c r="D11" s="7" t="s">
        <v>29</v>
      </c>
      <c r="E11" s="7" t="s">
        <v>30</v>
      </c>
      <c r="F11" s="7" t="s">
        <v>31</v>
      </c>
      <c r="G11" s="7"/>
      <c r="H11" s="7"/>
    </row>
    <row r="12" customFormat="false" ht="23.85" hidden="false" customHeight="false" outlineLevel="0" collapsed="false">
      <c r="A12" s="8" t="s">
        <v>44</v>
      </c>
      <c r="B12" s="8" t="s">
        <v>45</v>
      </c>
      <c r="C12" s="8" t="n">
        <v>1</v>
      </c>
      <c r="D12" s="8" t="s">
        <v>29</v>
      </c>
      <c r="E12" s="8" t="s">
        <v>30</v>
      </c>
      <c r="F12" s="8" t="s">
        <v>31</v>
      </c>
      <c r="G12" s="8"/>
      <c r="H12" s="8"/>
    </row>
    <row r="13" customFormat="false" ht="23.85" hidden="false" customHeight="false" outlineLevel="0" collapsed="false">
      <c r="A13" s="7" t="s">
        <v>46</v>
      </c>
      <c r="B13" s="7" t="s">
        <v>47</v>
      </c>
      <c r="C13" s="7" t="n">
        <v>1</v>
      </c>
      <c r="D13" s="7" t="s">
        <v>29</v>
      </c>
      <c r="E13" s="7" t="s">
        <v>30</v>
      </c>
      <c r="F13" s="7" t="s">
        <v>31</v>
      </c>
      <c r="G13" s="7"/>
      <c r="H13" s="7"/>
    </row>
    <row r="14" customFormat="false" ht="23.85" hidden="false" customHeight="false" outlineLevel="0" collapsed="false">
      <c r="A14" s="8" t="s">
        <v>48</v>
      </c>
      <c r="B14" s="8" t="s">
        <v>49</v>
      </c>
      <c r="C14" s="8" t="n">
        <v>1</v>
      </c>
      <c r="D14" s="8" t="s">
        <v>29</v>
      </c>
      <c r="E14" s="8" t="s">
        <v>30</v>
      </c>
      <c r="F14" s="8" t="s">
        <v>31</v>
      </c>
      <c r="G14" s="8"/>
      <c r="H14" s="8"/>
    </row>
    <row r="15" customFormat="false" ht="23.85" hidden="false" customHeight="false" outlineLevel="0" collapsed="false">
      <c r="A15" s="7" t="s">
        <v>50</v>
      </c>
      <c r="B15" s="7" t="s">
        <v>51</v>
      </c>
      <c r="C15" s="7" t="n">
        <v>1</v>
      </c>
      <c r="D15" s="7" t="s">
        <v>29</v>
      </c>
      <c r="E15" s="7" t="s">
        <v>30</v>
      </c>
      <c r="F15" s="7" t="s">
        <v>31</v>
      </c>
      <c r="G15" s="7"/>
      <c r="H15" s="7"/>
    </row>
    <row r="16" customFormat="false" ht="23.85" hidden="false" customHeight="false" outlineLevel="0" collapsed="false">
      <c r="A16" s="8" t="s">
        <v>52</v>
      </c>
      <c r="B16" s="8" t="s">
        <v>53</v>
      </c>
      <c r="C16" s="8" t="n">
        <v>1</v>
      </c>
      <c r="D16" s="8" t="s">
        <v>29</v>
      </c>
      <c r="E16" s="8" t="s">
        <v>30</v>
      </c>
      <c r="F16" s="8" t="s">
        <v>31</v>
      </c>
      <c r="G16" s="8"/>
      <c r="H16" s="8"/>
    </row>
    <row r="17" customFormat="false" ht="23.85" hidden="false" customHeight="false" outlineLevel="0" collapsed="false">
      <c r="A17" s="7" t="s">
        <v>54</v>
      </c>
      <c r="B17" s="7" t="s">
        <v>55</v>
      </c>
      <c r="C17" s="7" t="n">
        <v>1</v>
      </c>
      <c r="D17" s="7" t="s">
        <v>29</v>
      </c>
      <c r="E17" s="7" t="s">
        <v>30</v>
      </c>
      <c r="F17" s="7" t="s">
        <v>31</v>
      </c>
      <c r="G17" s="7"/>
      <c r="H17" s="7"/>
    </row>
    <row r="18" customFormat="false" ht="23.85" hidden="false" customHeight="false" outlineLevel="0" collapsed="false">
      <c r="A18" s="8" t="s">
        <v>56</v>
      </c>
      <c r="B18" s="8" t="s">
        <v>57</v>
      </c>
      <c r="C18" s="8" t="n">
        <v>1</v>
      </c>
      <c r="D18" s="8" t="s">
        <v>29</v>
      </c>
      <c r="E18" s="8" t="s">
        <v>30</v>
      </c>
      <c r="F18" s="8" t="s">
        <v>31</v>
      </c>
      <c r="G18" s="8"/>
      <c r="H18" s="8"/>
    </row>
    <row r="19" customFormat="false" ht="23.85" hidden="false" customHeight="false" outlineLevel="0" collapsed="false">
      <c r="A19" s="7" t="s">
        <v>58</v>
      </c>
      <c r="B19" s="7" t="s">
        <v>59</v>
      </c>
      <c r="C19" s="7" t="n">
        <v>1</v>
      </c>
      <c r="D19" s="7" t="s">
        <v>29</v>
      </c>
      <c r="E19" s="7" t="s">
        <v>30</v>
      </c>
      <c r="F19" s="7" t="s">
        <v>31</v>
      </c>
      <c r="G19" s="7"/>
      <c r="H19" s="7"/>
    </row>
    <row r="20" customFormat="false" ht="23.85" hidden="false" customHeight="false" outlineLevel="0" collapsed="false">
      <c r="A20" s="8" t="s">
        <v>60</v>
      </c>
      <c r="B20" s="8" t="s">
        <v>61</v>
      </c>
      <c r="C20" s="8" t="n">
        <v>1</v>
      </c>
      <c r="D20" s="8" t="s">
        <v>29</v>
      </c>
      <c r="E20" s="8" t="s">
        <v>30</v>
      </c>
      <c r="F20" s="8" t="s">
        <v>31</v>
      </c>
      <c r="G20" s="8"/>
      <c r="H20" s="8"/>
    </row>
    <row r="21" customFormat="false" ht="23.85" hidden="false" customHeight="false" outlineLevel="0" collapsed="false">
      <c r="A21" s="7" t="s">
        <v>62</v>
      </c>
      <c r="B21" s="7" t="s">
        <v>63</v>
      </c>
      <c r="C21" s="7" t="n">
        <v>1</v>
      </c>
      <c r="D21" s="7" t="s">
        <v>29</v>
      </c>
      <c r="E21" s="7" t="s">
        <v>30</v>
      </c>
      <c r="F21" s="7" t="s">
        <v>31</v>
      </c>
      <c r="G21" s="7"/>
      <c r="H21" s="7"/>
    </row>
    <row r="22" customFormat="false" ht="23.85" hidden="false" customHeight="false" outlineLevel="0" collapsed="false">
      <c r="A22" s="8" t="s">
        <v>64</v>
      </c>
      <c r="B22" s="8" t="s">
        <v>65</v>
      </c>
      <c r="C22" s="8" t="n">
        <v>2</v>
      </c>
      <c r="D22" s="8" t="s">
        <v>29</v>
      </c>
      <c r="E22" s="8" t="s">
        <v>30</v>
      </c>
      <c r="F22" s="8" t="s">
        <v>31</v>
      </c>
      <c r="G22" s="8"/>
      <c r="H22" s="8"/>
    </row>
    <row r="23" customFormat="false" ht="23.85" hidden="false" customHeight="false" outlineLevel="0" collapsed="false">
      <c r="A23" s="7" t="s">
        <v>66</v>
      </c>
      <c r="B23" s="7" t="s">
        <v>67</v>
      </c>
      <c r="C23" s="7" t="n">
        <v>1</v>
      </c>
      <c r="D23" s="7" t="s">
        <v>29</v>
      </c>
      <c r="E23" s="7" t="s">
        <v>30</v>
      </c>
      <c r="F23" s="7" t="s">
        <v>31</v>
      </c>
      <c r="G23" s="7"/>
      <c r="H23" s="7"/>
    </row>
    <row r="24" customFormat="false" ht="23.85" hidden="false" customHeight="false" outlineLevel="0" collapsed="false">
      <c r="A24" s="8" t="s">
        <v>68</v>
      </c>
      <c r="B24" s="8" t="s">
        <v>69</v>
      </c>
      <c r="C24" s="8" t="n">
        <v>1</v>
      </c>
      <c r="D24" s="8" t="s">
        <v>29</v>
      </c>
      <c r="E24" s="8" t="s">
        <v>30</v>
      </c>
      <c r="F24" s="8" t="s">
        <v>31</v>
      </c>
      <c r="G24" s="8"/>
      <c r="H24" s="8"/>
    </row>
    <row r="25" customFormat="false" ht="23.85" hidden="false" customHeight="false" outlineLevel="0" collapsed="false">
      <c r="A25" s="7" t="s">
        <v>70</v>
      </c>
      <c r="B25" s="7" t="s">
        <v>71</v>
      </c>
      <c r="C25" s="7" t="n">
        <v>2</v>
      </c>
      <c r="D25" s="7" t="s">
        <v>29</v>
      </c>
      <c r="E25" s="7" t="s">
        <v>30</v>
      </c>
      <c r="F25" s="7" t="s">
        <v>31</v>
      </c>
      <c r="G25" s="7"/>
      <c r="H25" s="7"/>
    </row>
    <row r="26" customFormat="false" ht="23.85" hidden="false" customHeight="false" outlineLevel="0" collapsed="false">
      <c r="A26" s="8" t="s">
        <v>72</v>
      </c>
      <c r="B26" s="8" t="s">
        <v>73</v>
      </c>
      <c r="C26" s="8" t="n">
        <v>1</v>
      </c>
      <c r="D26" s="8" t="s">
        <v>29</v>
      </c>
      <c r="E26" s="8" t="s">
        <v>30</v>
      </c>
      <c r="F26" s="8" t="s">
        <v>31</v>
      </c>
      <c r="G26" s="8"/>
      <c r="H26" s="8"/>
    </row>
    <row r="27" customFormat="false" ht="15" hidden="false" customHeight="false" outlineLevel="0" collapsed="false">
      <c r="A27" s="7" t="s">
        <v>74</v>
      </c>
      <c r="B27" s="7" t="s">
        <v>75</v>
      </c>
      <c r="C27" s="7" t="n">
        <v>1</v>
      </c>
      <c r="D27" s="7" t="s">
        <v>76</v>
      </c>
      <c r="E27" s="7" t="s">
        <v>30</v>
      </c>
      <c r="F27" s="7" t="s">
        <v>31</v>
      </c>
      <c r="G27" s="7"/>
      <c r="H27" s="7"/>
    </row>
    <row r="28" customFormat="false" ht="15" hidden="false" customHeight="false" outlineLevel="0" collapsed="false">
      <c r="A28" s="8" t="s">
        <v>77</v>
      </c>
      <c r="B28" s="8" t="s">
        <v>78</v>
      </c>
      <c r="C28" s="8" t="n">
        <v>1</v>
      </c>
      <c r="D28" s="8" t="s">
        <v>76</v>
      </c>
      <c r="E28" s="8" t="s">
        <v>30</v>
      </c>
      <c r="F28" s="8" t="s">
        <v>31</v>
      </c>
      <c r="G28" s="8"/>
      <c r="H28" s="8"/>
    </row>
    <row r="29" customFormat="false" ht="15" hidden="false" customHeight="false" outlineLevel="0" collapsed="false">
      <c r="A29" s="7" t="s">
        <v>79</v>
      </c>
      <c r="B29" s="7" t="s">
        <v>80</v>
      </c>
      <c r="C29" s="7" t="n">
        <v>2</v>
      </c>
      <c r="D29" s="7" t="s">
        <v>76</v>
      </c>
      <c r="E29" s="7" t="s">
        <v>30</v>
      </c>
      <c r="F29" s="7" t="s">
        <v>31</v>
      </c>
      <c r="G29" s="7"/>
      <c r="H29" s="7"/>
    </row>
    <row r="30" customFormat="false" ht="15" hidden="false" customHeight="false" outlineLevel="0" collapsed="false">
      <c r="A30" s="8" t="s">
        <v>81</v>
      </c>
      <c r="B30" s="8" t="s">
        <v>82</v>
      </c>
      <c r="C30" s="8" t="n">
        <v>2</v>
      </c>
      <c r="D30" s="8" t="s">
        <v>76</v>
      </c>
      <c r="E30" s="8" t="s">
        <v>30</v>
      </c>
      <c r="F30" s="8" t="s">
        <v>31</v>
      </c>
      <c r="G30" s="8"/>
      <c r="H30" s="8"/>
    </row>
    <row r="31" customFormat="false" ht="23.85" hidden="false" customHeight="false" outlineLevel="0" collapsed="false">
      <c r="A31" s="7" t="s">
        <v>83</v>
      </c>
      <c r="B31" s="7" t="s">
        <v>84</v>
      </c>
      <c r="C31" s="7" t="n">
        <v>1</v>
      </c>
      <c r="D31" s="7" t="s">
        <v>76</v>
      </c>
      <c r="E31" s="7" t="s">
        <v>30</v>
      </c>
      <c r="F31" s="7" t="s">
        <v>31</v>
      </c>
      <c r="G31" s="7"/>
      <c r="H31" s="7"/>
    </row>
    <row r="32" customFormat="false" ht="15" hidden="false" customHeight="false" outlineLevel="0" collapsed="false">
      <c r="A32" s="8" t="s">
        <v>85</v>
      </c>
      <c r="B32" s="8" t="s">
        <v>86</v>
      </c>
      <c r="C32" s="8" t="n">
        <v>1</v>
      </c>
      <c r="D32" s="8" t="s">
        <v>76</v>
      </c>
      <c r="E32" s="8" t="s">
        <v>30</v>
      </c>
      <c r="F32" s="8" t="s">
        <v>31</v>
      </c>
      <c r="G32" s="8"/>
      <c r="H32" s="8"/>
    </row>
    <row r="33" customFormat="false" ht="15" hidden="false" customHeight="false" outlineLevel="0" collapsed="false">
      <c r="A33" s="7" t="s">
        <v>87</v>
      </c>
      <c r="B33" s="7" t="s">
        <v>88</v>
      </c>
      <c r="C33" s="7" t="n">
        <v>1</v>
      </c>
      <c r="D33" s="7" t="s">
        <v>76</v>
      </c>
      <c r="E33" s="7" t="s">
        <v>30</v>
      </c>
      <c r="F33" s="7" t="s">
        <v>31</v>
      </c>
      <c r="G33" s="7"/>
      <c r="H33" s="7"/>
    </row>
    <row r="34" customFormat="false" ht="15" hidden="false" customHeight="false" outlineLevel="0" collapsed="false">
      <c r="A34" s="8" t="s">
        <v>89</v>
      </c>
      <c r="B34" s="8" t="s">
        <v>90</v>
      </c>
      <c r="C34" s="8" t="n">
        <v>1</v>
      </c>
      <c r="D34" s="8" t="s">
        <v>76</v>
      </c>
      <c r="E34" s="8" t="s">
        <v>30</v>
      </c>
      <c r="F34" s="8" t="s">
        <v>31</v>
      </c>
      <c r="G34" s="8"/>
      <c r="H34" s="8"/>
    </row>
    <row r="35" customFormat="false" ht="15" hidden="false" customHeight="false" outlineLevel="0" collapsed="false">
      <c r="A35" s="7" t="s">
        <v>91</v>
      </c>
      <c r="B35" s="7" t="s">
        <v>92</v>
      </c>
      <c r="C35" s="7" t="n">
        <v>1</v>
      </c>
      <c r="D35" s="7" t="s">
        <v>76</v>
      </c>
      <c r="E35" s="7" t="s">
        <v>30</v>
      </c>
      <c r="F35" s="7" t="s">
        <v>31</v>
      </c>
      <c r="G35" s="7"/>
      <c r="H35" s="7"/>
    </row>
    <row r="36" customFormat="false" ht="15" hidden="false" customHeight="false" outlineLevel="0" collapsed="false">
      <c r="A36" s="8" t="s">
        <v>93</v>
      </c>
      <c r="B36" s="8" t="s">
        <v>94</v>
      </c>
      <c r="C36" s="8" t="n">
        <v>1</v>
      </c>
      <c r="D36" s="8" t="s">
        <v>76</v>
      </c>
      <c r="E36" s="8" t="s">
        <v>30</v>
      </c>
      <c r="F36" s="8" t="s">
        <v>31</v>
      </c>
      <c r="G36" s="8"/>
      <c r="H36" s="8"/>
    </row>
    <row r="37" customFormat="false" ht="15" hidden="false" customHeight="false" outlineLevel="0" collapsed="false">
      <c r="A37" s="7" t="s">
        <v>95</v>
      </c>
      <c r="B37" s="7" t="s">
        <v>96</v>
      </c>
      <c r="C37" s="7" t="n">
        <v>1</v>
      </c>
      <c r="D37" s="7" t="s">
        <v>97</v>
      </c>
      <c r="E37" s="7" t="s">
        <v>30</v>
      </c>
      <c r="F37" s="7" t="s">
        <v>31</v>
      </c>
      <c r="G37" s="7"/>
      <c r="H37" s="7"/>
    </row>
    <row r="38" customFormat="false" ht="15" hidden="false" customHeight="false" outlineLevel="0" collapsed="false">
      <c r="A38" s="8" t="s">
        <v>98</v>
      </c>
      <c r="B38" s="8" t="s">
        <v>99</v>
      </c>
      <c r="C38" s="8" t="n">
        <v>2</v>
      </c>
      <c r="D38" s="8" t="s">
        <v>97</v>
      </c>
      <c r="E38" s="8" t="s">
        <v>30</v>
      </c>
      <c r="F38" s="8" t="s">
        <v>31</v>
      </c>
      <c r="G38" s="8"/>
      <c r="H38" s="8"/>
    </row>
    <row r="39" customFormat="false" ht="23.85" hidden="false" customHeight="false" outlineLevel="0" collapsed="false">
      <c r="A39" s="7" t="s">
        <v>100</v>
      </c>
      <c r="B39" s="7" t="s">
        <v>101</v>
      </c>
      <c r="C39" s="7" t="n">
        <v>1</v>
      </c>
      <c r="D39" s="7" t="s">
        <v>97</v>
      </c>
      <c r="E39" s="7" t="s">
        <v>30</v>
      </c>
      <c r="F39" s="7" t="s">
        <v>31</v>
      </c>
      <c r="G39" s="7"/>
      <c r="H39" s="7"/>
    </row>
    <row r="40" customFormat="false" ht="15" hidden="false" customHeight="false" outlineLevel="0" collapsed="false">
      <c r="A40" s="8" t="s">
        <v>102</v>
      </c>
      <c r="B40" s="8" t="s">
        <v>103</v>
      </c>
      <c r="C40" s="8" t="n">
        <v>1</v>
      </c>
      <c r="D40" s="8" t="s">
        <v>97</v>
      </c>
      <c r="E40" s="8" t="s">
        <v>30</v>
      </c>
      <c r="F40" s="8" t="s">
        <v>31</v>
      </c>
      <c r="G40" s="8"/>
      <c r="H40" s="8"/>
    </row>
    <row r="41" customFormat="false" ht="15" hidden="false" customHeight="false" outlineLevel="0" collapsed="false">
      <c r="A41" s="7" t="s">
        <v>104</v>
      </c>
      <c r="B41" s="7" t="s">
        <v>105</v>
      </c>
      <c r="C41" s="7" t="n">
        <v>1</v>
      </c>
      <c r="D41" s="7" t="s">
        <v>97</v>
      </c>
      <c r="E41" s="7" t="s">
        <v>30</v>
      </c>
      <c r="F41" s="7" t="s">
        <v>31</v>
      </c>
      <c r="G41" s="7"/>
      <c r="H41" s="7"/>
    </row>
    <row r="42" customFormat="false" ht="23.85" hidden="false" customHeight="false" outlineLevel="0" collapsed="false">
      <c r="A42" s="8" t="s">
        <v>106</v>
      </c>
      <c r="B42" s="8" t="s">
        <v>107</v>
      </c>
      <c r="C42" s="8" t="n">
        <v>1</v>
      </c>
      <c r="D42" s="8" t="s">
        <v>97</v>
      </c>
      <c r="E42" s="8" t="s">
        <v>30</v>
      </c>
      <c r="F42" s="8" t="s">
        <v>31</v>
      </c>
      <c r="G42" s="8"/>
      <c r="H42" s="8"/>
    </row>
    <row r="43" customFormat="false" ht="15" hidden="false" customHeight="false" outlineLevel="0" collapsed="false">
      <c r="A43" s="7" t="s">
        <v>108</v>
      </c>
      <c r="B43" s="7" t="s">
        <v>109</v>
      </c>
      <c r="C43" s="7" t="n">
        <v>2</v>
      </c>
      <c r="D43" s="7" t="s">
        <v>97</v>
      </c>
      <c r="E43" s="7" t="s">
        <v>30</v>
      </c>
      <c r="F43" s="7" t="s">
        <v>31</v>
      </c>
      <c r="G43" s="7"/>
      <c r="H43" s="7"/>
    </row>
    <row r="44" customFormat="false" ht="15" hidden="false" customHeight="false" outlineLevel="0" collapsed="false">
      <c r="A44" s="8" t="s">
        <v>110</v>
      </c>
      <c r="B44" s="8" t="s">
        <v>111</v>
      </c>
      <c r="C44" s="8" t="n">
        <v>1</v>
      </c>
      <c r="D44" s="8" t="s">
        <v>97</v>
      </c>
      <c r="E44" s="8" t="s">
        <v>30</v>
      </c>
      <c r="F44" s="8" t="s">
        <v>31</v>
      </c>
      <c r="G44" s="8"/>
      <c r="H44" s="8"/>
    </row>
    <row r="45" customFormat="false" ht="15" hidden="false" customHeight="false" outlineLevel="0" collapsed="false">
      <c r="A45" s="7" t="s">
        <v>112</v>
      </c>
      <c r="B45" s="7" t="s">
        <v>113</v>
      </c>
      <c r="C45" s="7" t="n">
        <v>1</v>
      </c>
      <c r="D45" s="7" t="s">
        <v>97</v>
      </c>
      <c r="E45" s="7" t="s">
        <v>30</v>
      </c>
      <c r="F45" s="7" t="s">
        <v>31</v>
      </c>
      <c r="G45" s="7"/>
      <c r="H45" s="7"/>
    </row>
    <row r="46" customFormat="false" ht="15" hidden="false" customHeight="false" outlineLevel="0" collapsed="false">
      <c r="A46" s="8" t="s">
        <v>114</v>
      </c>
      <c r="B46" s="8" t="s">
        <v>115</v>
      </c>
      <c r="C46" s="8" t="n">
        <v>2</v>
      </c>
      <c r="D46" s="8" t="s">
        <v>97</v>
      </c>
      <c r="E46" s="8" t="s">
        <v>30</v>
      </c>
      <c r="F46" s="8" t="s">
        <v>31</v>
      </c>
      <c r="G46" s="8"/>
      <c r="H46" s="8"/>
    </row>
    <row r="47" customFormat="false" ht="15" hidden="false" customHeight="false" outlineLevel="0" collapsed="false">
      <c r="A47" s="7" t="s">
        <v>116</v>
      </c>
      <c r="B47" s="7" t="s">
        <v>117</v>
      </c>
      <c r="C47" s="7" t="n">
        <v>2</v>
      </c>
      <c r="D47" s="7" t="s">
        <v>97</v>
      </c>
      <c r="E47" s="7" t="s">
        <v>30</v>
      </c>
      <c r="F47" s="7" t="s">
        <v>31</v>
      </c>
      <c r="G47" s="7"/>
      <c r="H47" s="7"/>
    </row>
    <row r="48" customFormat="false" ht="15" hidden="false" customHeight="false" outlineLevel="0" collapsed="false">
      <c r="A48" s="8" t="s">
        <v>118</v>
      </c>
      <c r="B48" s="8" t="s">
        <v>119</v>
      </c>
      <c r="C48" s="8" t="n">
        <v>1</v>
      </c>
      <c r="D48" s="8" t="s">
        <v>120</v>
      </c>
      <c r="E48" s="8" t="s">
        <v>30</v>
      </c>
      <c r="F48" s="8" t="s">
        <v>31</v>
      </c>
      <c r="G48" s="8"/>
      <c r="H48" s="8"/>
    </row>
    <row r="49" customFormat="false" ht="15" hidden="false" customHeight="false" outlineLevel="0" collapsed="false">
      <c r="A49" s="7" t="s">
        <v>121</v>
      </c>
      <c r="B49" s="7" t="s">
        <v>122</v>
      </c>
      <c r="C49" s="7" t="n">
        <v>1</v>
      </c>
      <c r="D49" s="7" t="s">
        <v>120</v>
      </c>
      <c r="E49" s="7" t="s">
        <v>30</v>
      </c>
      <c r="F49" s="7" t="s">
        <v>31</v>
      </c>
      <c r="G49" s="7"/>
      <c r="H49" s="7"/>
    </row>
    <row r="50" customFormat="false" ht="15" hidden="false" customHeight="false" outlineLevel="0" collapsed="false">
      <c r="A50" s="8" t="s">
        <v>123</v>
      </c>
      <c r="B50" s="8" t="s">
        <v>124</v>
      </c>
      <c r="C50" s="8" t="n">
        <v>1</v>
      </c>
      <c r="D50" s="8" t="s">
        <v>120</v>
      </c>
      <c r="E50" s="8" t="s">
        <v>30</v>
      </c>
      <c r="F50" s="8" t="s">
        <v>31</v>
      </c>
      <c r="G50" s="8"/>
      <c r="H50" s="8"/>
    </row>
    <row r="51" customFormat="false" ht="15" hidden="false" customHeight="false" outlineLevel="0" collapsed="false">
      <c r="A51" s="7" t="s">
        <v>125</v>
      </c>
      <c r="B51" s="7" t="s">
        <v>126</v>
      </c>
      <c r="C51" s="7" t="n">
        <v>1</v>
      </c>
      <c r="D51" s="7" t="s">
        <v>120</v>
      </c>
      <c r="E51" s="7" t="s">
        <v>30</v>
      </c>
      <c r="F51" s="7" t="s">
        <v>31</v>
      </c>
      <c r="G51" s="7"/>
      <c r="H51" s="7"/>
    </row>
    <row r="52" customFormat="false" ht="15" hidden="false" customHeight="false" outlineLevel="0" collapsed="false">
      <c r="A52" s="8" t="s">
        <v>127</v>
      </c>
      <c r="B52" s="8" t="s">
        <v>128</v>
      </c>
      <c r="C52" s="8" t="n">
        <v>1</v>
      </c>
      <c r="D52" s="8" t="s">
        <v>120</v>
      </c>
      <c r="E52" s="8" t="s">
        <v>30</v>
      </c>
      <c r="F52" s="8" t="s">
        <v>31</v>
      </c>
      <c r="G52" s="8"/>
      <c r="H52" s="8"/>
    </row>
    <row r="53" customFormat="false" ht="23.85" hidden="false" customHeight="false" outlineLevel="0" collapsed="false">
      <c r="A53" s="7" t="s">
        <v>129</v>
      </c>
      <c r="B53" s="7" t="s">
        <v>130</v>
      </c>
      <c r="C53" s="7" t="n">
        <v>2</v>
      </c>
      <c r="D53" s="7" t="s">
        <v>120</v>
      </c>
      <c r="E53" s="7" t="s">
        <v>30</v>
      </c>
      <c r="F53" s="7" t="s">
        <v>31</v>
      </c>
      <c r="G53" s="7"/>
      <c r="H53" s="7"/>
    </row>
    <row r="54" customFormat="false" ht="23.85" hidden="false" customHeight="false" outlineLevel="0" collapsed="false">
      <c r="A54" s="8" t="s">
        <v>131</v>
      </c>
      <c r="B54" s="8" t="s">
        <v>132</v>
      </c>
      <c r="C54" s="8" t="n">
        <v>2</v>
      </c>
      <c r="D54" s="8" t="s">
        <v>120</v>
      </c>
      <c r="E54" s="8" t="s">
        <v>30</v>
      </c>
      <c r="F54" s="8" t="s">
        <v>31</v>
      </c>
      <c r="G54" s="8"/>
      <c r="H54" s="8"/>
    </row>
    <row r="55" customFormat="false" ht="15" hidden="false" customHeight="false" outlineLevel="0" collapsed="false">
      <c r="A55" s="7" t="s">
        <v>133</v>
      </c>
      <c r="B55" s="7" t="s">
        <v>134</v>
      </c>
      <c r="C55" s="7" t="n">
        <v>1</v>
      </c>
      <c r="D55" s="7" t="s">
        <v>120</v>
      </c>
      <c r="E55" s="7" t="s">
        <v>30</v>
      </c>
      <c r="F55" s="7" t="s">
        <v>31</v>
      </c>
      <c r="G55" s="7"/>
      <c r="H55" s="7"/>
    </row>
    <row r="56" customFormat="false" ht="15" hidden="false" customHeight="false" outlineLevel="0" collapsed="false">
      <c r="A56" s="8" t="s">
        <v>135</v>
      </c>
      <c r="B56" s="8" t="s">
        <v>136</v>
      </c>
      <c r="C56" s="8" t="n">
        <v>2</v>
      </c>
      <c r="D56" s="8" t="s">
        <v>120</v>
      </c>
      <c r="E56" s="8" t="s">
        <v>30</v>
      </c>
      <c r="F56" s="8" t="s">
        <v>31</v>
      </c>
      <c r="G56" s="8"/>
      <c r="H56" s="8"/>
    </row>
    <row r="57" customFormat="false" ht="15" hidden="false" customHeight="false" outlineLevel="0" collapsed="false">
      <c r="A57" s="7" t="s">
        <v>137</v>
      </c>
      <c r="B57" s="7" t="s">
        <v>138</v>
      </c>
      <c r="C57" s="7" t="n">
        <v>2</v>
      </c>
      <c r="D57" s="7" t="s">
        <v>120</v>
      </c>
      <c r="E57" s="7" t="s">
        <v>30</v>
      </c>
      <c r="F57" s="7" t="s">
        <v>31</v>
      </c>
      <c r="G57" s="7"/>
      <c r="H57" s="7"/>
    </row>
    <row r="58" customFormat="false" ht="15" hidden="false" customHeight="false" outlineLevel="0" collapsed="false">
      <c r="A58" s="8" t="s">
        <v>139</v>
      </c>
      <c r="B58" s="8" t="s">
        <v>140</v>
      </c>
      <c r="C58" s="8" t="n">
        <v>2</v>
      </c>
      <c r="D58" s="8" t="s">
        <v>120</v>
      </c>
      <c r="E58" s="8" t="s">
        <v>30</v>
      </c>
      <c r="F58" s="8" t="s">
        <v>31</v>
      </c>
      <c r="G58" s="8"/>
      <c r="H58" s="8"/>
    </row>
    <row r="59" customFormat="false" ht="15" hidden="false" customHeight="false" outlineLevel="0" collapsed="false">
      <c r="A59" s="7" t="s">
        <v>141</v>
      </c>
      <c r="B59" s="7" t="s">
        <v>142</v>
      </c>
      <c r="C59" s="7" t="n">
        <v>1</v>
      </c>
      <c r="D59" s="7" t="s">
        <v>120</v>
      </c>
      <c r="E59" s="7" t="s">
        <v>30</v>
      </c>
      <c r="F59" s="7" t="s">
        <v>31</v>
      </c>
      <c r="G59" s="7"/>
      <c r="H59" s="7"/>
    </row>
    <row r="60" customFormat="false" ht="15" hidden="false" customHeight="false" outlineLevel="0" collapsed="false">
      <c r="A60" s="8" t="s">
        <v>143</v>
      </c>
      <c r="B60" s="8" t="s">
        <v>144</v>
      </c>
      <c r="C60" s="8" t="n">
        <v>1</v>
      </c>
      <c r="D60" s="8" t="s">
        <v>120</v>
      </c>
      <c r="E60" s="8" t="s">
        <v>30</v>
      </c>
      <c r="F60" s="8" t="s">
        <v>31</v>
      </c>
      <c r="G60" s="8"/>
      <c r="H60" s="8"/>
    </row>
    <row r="61" customFormat="false" ht="15" hidden="false" customHeight="false" outlineLevel="0" collapsed="false">
      <c r="A61" s="7" t="s">
        <v>145</v>
      </c>
      <c r="B61" s="7" t="s">
        <v>146</v>
      </c>
      <c r="C61" s="7" t="n">
        <v>1</v>
      </c>
      <c r="D61" s="7" t="s">
        <v>120</v>
      </c>
      <c r="E61" s="7" t="s">
        <v>30</v>
      </c>
      <c r="F61" s="7" t="s">
        <v>31</v>
      </c>
      <c r="G61" s="7"/>
      <c r="H61" s="7"/>
    </row>
    <row r="62" customFormat="false" ht="15" hidden="false" customHeight="false" outlineLevel="0" collapsed="false">
      <c r="A62" s="8" t="s">
        <v>147</v>
      </c>
      <c r="B62" s="8" t="s">
        <v>148</v>
      </c>
      <c r="C62" s="8" t="n">
        <v>1</v>
      </c>
      <c r="D62" s="8" t="s">
        <v>120</v>
      </c>
      <c r="E62" s="8" t="s">
        <v>30</v>
      </c>
      <c r="F62" s="8" t="s">
        <v>31</v>
      </c>
      <c r="G62" s="8"/>
      <c r="H62" s="8"/>
    </row>
    <row r="63" customFormat="false" ht="15" hidden="false" customHeight="false" outlineLevel="0" collapsed="false">
      <c r="A63" s="7" t="s">
        <v>149</v>
      </c>
      <c r="B63" s="7" t="s">
        <v>150</v>
      </c>
      <c r="C63" s="7" t="n">
        <v>2</v>
      </c>
      <c r="D63" s="7" t="s">
        <v>120</v>
      </c>
      <c r="E63" s="7" t="s">
        <v>30</v>
      </c>
      <c r="F63" s="7" t="s">
        <v>31</v>
      </c>
      <c r="G63" s="7"/>
      <c r="H63" s="7"/>
    </row>
    <row r="64" customFormat="false" ht="23.85" hidden="false" customHeight="false" outlineLevel="0" collapsed="false">
      <c r="A64" s="8" t="s">
        <v>151</v>
      </c>
      <c r="B64" s="8" t="s">
        <v>152</v>
      </c>
      <c r="C64" s="8" t="n">
        <v>1</v>
      </c>
      <c r="D64" s="8" t="s">
        <v>153</v>
      </c>
      <c r="E64" s="8" t="s">
        <v>30</v>
      </c>
      <c r="F64" s="8" t="s">
        <v>31</v>
      </c>
      <c r="G64" s="8"/>
      <c r="H64" s="8"/>
    </row>
    <row r="65" customFormat="false" ht="23.85" hidden="false" customHeight="false" outlineLevel="0" collapsed="false">
      <c r="A65" s="7" t="s">
        <v>154</v>
      </c>
      <c r="B65" s="7" t="s">
        <v>155</v>
      </c>
      <c r="C65" s="7" t="n">
        <v>1</v>
      </c>
      <c r="D65" s="7" t="s">
        <v>153</v>
      </c>
      <c r="E65" s="7" t="s">
        <v>30</v>
      </c>
      <c r="F65" s="7" t="s">
        <v>31</v>
      </c>
      <c r="G65" s="7"/>
      <c r="H65" s="7"/>
    </row>
    <row r="66" customFormat="false" ht="23.85" hidden="false" customHeight="false" outlineLevel="0" collapsed="false">
      <c r="A66" s="8" t="s">
        <v>156</v>
      </c>
      <c r="B66" s="8" t="s">
        <v>157</v>
      </c>
      <c r="C66" s="8" t="n">
        <v>1</v>
      </c>
      <c r="D66" s="8" t="s">
        <v>153</v>
      </c>
      <c r="E66" s="8" t="s">
        <v>30</v>
      </c>
      <c r="F66" s="8" t="s">
        <v>31</v>
      </c>
      <c r="G66" s="8"/>
      <c r="H66" s="8"/>
    </row>
    <row r="67" customFormat="false" ht="15" hidden="false" customHeight="false" outlineLevel="0" collapsed="false">
      <c r="A67" s="7" t="s">
        <v>158</v>
      </c>
      <c r="B67" s="7" t="s">
        <v>159</v>
      </c>
      <c r="C67" s="7" t="n">
        <v>2</v>
      </c>
      <c r="D67" s="7" t="s">
        <v>153</v>
      </c>
      <c r="E67" s="7" t="s">
        <v>30</v>
      </c>
      <c r="F67" s="7" t="s">
        <v>31</v>
      </c>
      <c r="G67" s="7"/>
      <c r="H67" s="7"/>
    </row>
    <row r="68" customFormat="false" ht="15" hidden="false" customHeight="false" outlineLevel="0" collapsed="false">
      <c r="A68" s="8" t="s">
        <v>160</v>
      </c>
      <c r="B68" s="8" t="s">
        <v>161</v>
      </c>
      <c r="C68" s="8" t="n">
        <v>2</v>
      </c>
      <c r="D68" s="8" t="s">
        <v>153</v>
      </c>
      <c r="E68" s="8" t="s">
        <v>30</v>
      </c>
      <c r="F68" s="8" t="s">
        <v>31</v>
      </c>
      <c r="G68" s="8"/>
      <c r="H68" s="8"/>
    </row>
    <row r="69" customFormat="false" ht="23.85" hidden="false" customHeight="false" outlineLevel="0" collapsed="false">
      <c r="A69" s="7" t="s">
        <v>162</v>
      </c>
      <c r="B69" s="7" t="s">
        <v>163</v>
      </c>
      <c r="C69" s="7" t="n">
        <v>1</v>
      </c>
      <c r="D69" s="7" t="s">
        <v>153</v>
      </c>
      <c r="E69" s="7" t="s">
        <v>30</v>
      </c>
      <c r="F69" s="7" t="s">
        <v>31</v>
      </c>
      <c r="G69" s="7"/>
      <c r="H69" s="7"/>
    </row>
  </sheetData>
  <autoFilter ref="A4:H69"/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F5:F69" type="list">
      <formula1>"Compliant,Partial,Non-Compliant,Not Applicable,In Progress"</formula1>
      <formula2>0</formula2>
    </dataValidation>
    <dataValidation allowBlank="true" errorStyle="stop" operator="between" showDropDown="false" showErrorMessage="false" showInputMessage="false" sqref="E5:E69" type="list">
      <formula1>"Customer,Partner,Shared,AWS"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1" t="s">
        <v>164</v>
      </c>
      <c r="B1" s="1"/>
      <c r="C1" s="1"/>
    </row>
    <row r="2" customFormat="false" ht="15" hidden="false" customHeight="false" outlineLevel="0" collapsed="false">
      <c r="A2" s="2" t="s">
        <v>165</v>
      </c>
      <c r="B2" s="2"/>
      <c r="C2" s="2"/>
    </row>
    <row r="4" customFormat="false" ht="27.75" hidden="false" customHeight="true" outlineLevel="0" collapsed="false">
      <c r="A4" s="6" t="s">
        <v>24</v>
      </c>
      <c r="B4" s="6" t="s">
        <v>166</v>
      </c>
      <c r="C4" s="6" t="s">
        <v>167</v>
      </c>
    </row>
    <row r="5" customFormat="false" ht="15" hidden="false" customHeight="false" outlineLevel="0" collapsed="false">
      <c r="A5" s="9" t="s">
        <v>168</v>
      </c>
      <c r="B5" s="9" t="n">
        <f aca="false">COUNTIF('CIS v3 Controls'!F5:F69,"Compliant")</f>
        <v>0</v>
      </c>
      <c r="C5" s="10" t="n">
        <f aca="false">IFERROR(B5/SUM($B$5:$B$9),0)</f>
        <v>0</v>
      </c>
    </row>
    <row r="6" customFormat="false" ht="15" hidden="false" customHeight="false" outlineLevel="0" collapsed="false">
      <c r="A6" s="9" t="s">
        <v>169</v>
      </c>
      <c r="B6" s="9" t="n">
        <f aca="false">COUNTIF('CIS v3 Controls'!F5:F69,"Partial")</f>
        <v>0</v>
      </c>
      <c r="C6" s="10" t="n">
        <f aca="false">IFERROR(B6/SUM($B$5:$B$9),0)</f>
        <v>0</v>
      </c>
    </row>
    <row r="7" customFormat="false" ht="15" hidden="false" customHeight="false" outlineLevel="0" collapsed="false">
      <c r="A7" s="9" t="s">
        <v>170</v>
      </c>
      <c r="B7" s="9" t="n">
        <f aca="false">COUNTIF('CIS v3 Controls'!F5:F69,"Non-Compliant")</f>
        <v>0</v>
      </c>
      <c r="C7" s="10" t="n">
        <f aca="false">IFERROR(B7/SUM($B$5:$B$9),0)</f>
        <v>0</v>
      </c>
    </row>
    <row r="8" customFormat="false" ht="15" hidden="false" customHeight="false" outlineLevel="0" collapsed="false">
      <c r="A8" s="9" t="s">
        <v>171</v>
      </c>
      <c r="B8" s="9" t="n">
        <f aca="false">COUNTIF('CIS v3 Controls'!F5:F69,"Not Applicable")</f>
        <v>0</v>
      </c>
      <c r="C8" s="10" t="n">
        <f aca="false">IFERROR(B8/SUM($B$5:$B$9),0)</f>
        <v>0</v>
      </c>
    </row>
    <row r="9" customFormat="false" ht="15" hidden="false" customHeight="false" outlineLevel="0" collapsed="false">
      <c r="A9" s="9" t="s">
        <v>31</v>
      </c>
      <c r="B9" s="9" t="n">
        <f aca="false">COUNTIF('CIS v3 Controls'!F5:F69,"In Progress")</f>
        <v>65</v>
      </c>
      <c r="C9" s="10" t="n">
        <f aca="false">IFERROR(B9/SUM($B$5:$B$9),0)</f>
        <v>1</v>
      </c>
    </row>
    <row r="10" customFormat="false" ht="15" hidden="false" customHeight="false" outlineLevel="0" collapsed="false">
      <c r="A10" s="11" t="s">
        <v>172</v>
      </c>
      <c r="B10" s="11" t="n">
        <f aca="false">SUM(B5:B9)</f>
        <v>65</v>
      </c>
      <c r="C10" s="12" t="n">
        <f aca="false">SUM(C5:C9)</f>
        <v>1</v>
      </c>
    </row>
    <row r="12" customFormat="false" ht="15" hidden="false" customHeight="false" outlineLevel="0" collapsed="false">
      <c r="A12" s="3" t="s">
        <v>173</v>
      </c>
    </row>
    <row r="13" customFormat="false" ht="27.75" hidden="false" customHeight="true" outlineLevel="0" collapsed="false">
      <c r="A13" s="6" t="s">
        <v>22</v>
      </c>
      <c r="B13" s="6" t="s">
        <v>168</v>
      </c>
      <c r="C13" s="6" t="s">
        <v>169</v>
      </c>
      <c r="D13" s="6" t="s">
        <v>170</v>
      </c>
      <c r="E13" s="6" t="s">
        <v>171</v>
      </c>
      <c r="F13" s="6" t="s">
        <v>31</v>
      </c>
      <c r="G13" s="6" t="s">
        <v>172</v>
      </c>
    </row>
    <row r="14" customFormat="false" ht="15" hidden="false" customHeight="false" outlineLevel="0" collapsed="false">
      <c r="A14" s="9" t="s">
        <v>29</v>
      </c>
      <c r="B14" s="9" t="n">
        <f aca="false">COUNTIFS('CIS v3 Controls'!D5:D69,"Identity &amp; Access Management",'CIS v3 Controls'!F5:F69,"Compliant")</f>
        <v>0</v>
      </c>
      <c r="C14" s="9" t="n">
        <f aca="false">COUNTIFS('CIS v3 Controls'!D5:D69,"Identity &amp; Access Management",'CIS v3 Controls'!F5:F69,"Partial")</f>
        <v>0</v>
      </c>
      <c r="D14" s="9" t="n">
        <f aca="false">COUNTIFS('CIS v3 Controls'!D5:D69,"Identity &amp; Access Management",'CIS v3 Controls'!F5:F69,"Non-Compliant")</f>
        <v>0</v>
      </c>
      <c r="E14" s="9" t="n">
        <f aca="false">COUNTIFS('CIS v3 Controls'!D5:D69,"Identity &amp; Access Management",'CIS v3 Controls'!F5:F69,"Not Applicable")</f>
        <v>0</v>
      </c>
      <c r="F14" s="9" t="n">
        <f aca="false">COUNTIFS('CIS v3 Controls'!D5:D69,"Identity &amp; Access Management",'CIS v3 Controls'!F5:F69,"In Progress")</f>
        <v>22</v>
      </c>
      <c r="G14" s="9" t="n">
        <f aca="false">SUM(B14:F14)</f>
        <v>22</v>
      </c>
    </row>
    <row r="15" customFormat="false" ht="15" hidden="false" customHeight="false" outlineLevel="0" collapsed="false">
      <c r="A15" s="9" t="s">
        <v>76</v>
      </c>
      <c r="B15" s="9" t="n">
        <f aca="false">COUNTIFS('CIS v3 Controls'!D5:D69,"Storage",'CIS v3 Controls'!F5:F69,"Compliant")</f>
        <v>0</v>
      </c>
      <c r="C15" s="9" t="n">
        <f aca="false">COUNTIFS('CIS v3 Controls'!D5:D69,"Storage",'CIS v3 Controls'!F5:F69,"Partial")</f>
        <v>0</v>
      </c>
      <c r="D15" s="9" t="n">
        <f aca="false">COUNTIFS('CIS v3 Controls'!D5:D69,"Storage",'CIS v3 Controls'!F5:F69,"Non-Compliant")</f>
        <v>0</v>
      </c>
      <c r="E15" s="9" t="n">
        <f aca="false">COUNTIFS('CIS v3 Controls'!D5:D69,"Storage",'CIS v3 Controls'!F5:F69,"Not Applicable")</f>
        <v>0</v>
      </c>
      <c r="F15" s="9" t="n">
        <f aca="false">COUNTIFS('CIS v3 Controls'!D5:D69,"Storage",'CIS v3 Controls'!F5:F69,"In Progress")</f>
        <v>10</v>
      </c>
      <c r="G15" s="9" t="n">
        <f aca="false">SUM(B15:F15)</f>
        <v>10</v>
      </c>
    </row>
    <row r="16" customFormat="false" ht="15" hidden="false" customHeight="false" outlineLevel="0" collapsed="false">
      <c r="A16" s="9" t="s">
        <v>97</v>
      </c>
      <c r="B16" s="9" t="n">
        <f aca="false">COUNTIFS('CIS v3 Controls'!D5:D69,"Logging",'CIS v3 Controls'!F5:F69,"Compliant")</f>
        <v>0</v>
      </c>
      <c r="C16" s="9" t="n">
        <f aca="false">COUNTIFS('CIS v3 Controls'!D5:D69,"Logging",'CIS v3 Controls'!F5:F69,"Partial")</f>
        <v>0</v>
      </c>
      <c r="D16" s="9" t="n">
        <f aca="false">COUNTIFS('CIS v3 Controls'!D5:D69,"Logging",'CIS v3 Controls'!F5:F69,"Non-Compliant")</f>
        <v>0</v>
      </c>
      <c r="E16" s="9" t="n">
        <f aca="false">COUNTIFS('CIS v3 Controls'!D5:D69,"Logging",'CIS v3 Controls'!F5:F69,"Not Applicable")</f>
        <v>0</v>
      </c>
      <c r="F16" s="9" t="n">
        <f aca="false">COUNTIFS('CIS v3 Controls'!D5:D69,"Logging",'CIS v3 Controls'!F5:F69,"In Progress")</f>
        <v>11</v>
      </c>
      <c r="G16" s="9" t="n">
        <f aca="false">SUM(B16:F16)</f>
        <v>11</v>
      </c>
    </row>
    <row r="17" customFormat="false" ht="15" hidden="false" customHeight="false" outlineLevel="0" collapsed="false">
      <c r="A17" s="9" t="s">
        <v>120</v>
      </c>
      <c r="B17" s="9" t="n">
        <f aca="false">COUNTIFS('CIS v3 Controls'!D5:D69,"Monitoring",'CIS v3 Controls'!F5:F69,"Compliant")</f>
        <v>0</v>
      </c>
      <c r="C17" s="9" t="n">
        <f aca="false">COUNTIFS('CIS v3 Controls'!D5:D69,"Monitoring",'CIS v3 Controls'!F5:F69,"Partial")</f>
        <v>0</v>
      </c>
      <c r="D17" s="9" t="n">
        <f aca="false">COUNTIFS('CIS v3 Controls'!D5:D69,"Monitoring",'CIS v3 Controls'!F5:F69,"Non-Compliant")</f>
        <v>0</v>
      </c>
      <c r="E17" s="9" t="n">
        <f aca="false">COUNTIFS('CIS v3 Controls'!D5:D69,"Monitoring",'CIS v3 Controls'!F5:F69,"Not Applicable")</f>
        <v>0</v>
      </c>
      <c r="F17" s="9" t="n">
        <f aca="false">COUNTIFS('CIS v3 Controls'!D5:D69,"Monitoring",'CIS v3 Controls'!F5:F69,"In Progress")</f>
        <v>16</v>
      </c>
      <c r="G17" s="9" t="n">
        <f aca="false">SUM(B17:F17)</f>
        <v>16</v>
      </c>
    </row>
    <row r="18" customFormat="false" ht="15" hidden="false" customHeight="false" outlineLevel="0" collapsed="false">
      <c r="A18" s="9" t="s">
        <v>153</v>
      </c>
      <c r="B18" s="9" t="n">
        <f aca="false">COUNTIFS('CIS v3 Controls'!D5:D69,"Networking",'CIS v3 Controls'!F5:F69,"Compliant")</f>
        <v>0</v>
      </c>
      <c r="C18" s="9" t="n">
        <f aca="false">COUNTIFS('CIS v3 Controls'!D5:D69,"Networking",'CIS v3 Controls'!F5:F69,"Partial")</f>
        <v>0</v>
      </c>
      <c r="D18" s="9" t="n">
        <f aca="false">COUNTIFS('CIS v3 Controls'!D5:D69,"Networking",'CIS v3 Controls'!F5:F69,"Non-Compliant")</f>
        <v>0</v>
      </c>
      <c r="E18" s="9" t="n">
        <f aca="false">COUNTIFS('CIS v3 Controls'!D5:D69,"Networking",'CIS v3 Controls'!F5:F69,"Not Applicable")</f>
        <v>0</v>
      </c>
      <c r="F18" s="9" t="n">
        <f aca="false">COUNTIFS('CIS v3 Controls'!D5:D69,"Networking",'CIS v3 Controls'!F5:F69,"In Progress")</f>
        <v>6</v>
      </c>
      <c r="G18" s="9" t="n">
        <f aca="false">SUM(B18:F18)</f>
        <v>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2026-05-28T08:17:12Z</dcterms:created>
  <dc:creator>openpyxl</dc:creator>
  <dc:description/>
  <dc:language>en-US</dc:language>
  <cp:lastModifiedBy/>
  <dcterms:modified xsi:type="dcterms:W3CDTF">2026-05-28T08:17:12Z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